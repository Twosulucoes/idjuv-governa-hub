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\Desktop\Vitor\"/>
    </mc:Choice>
  </mc:AlternateContent>
  <bookViews>
    <workbookView xWindow="0" yWindow="0" windowWidth="20490" windowHeight="7530"/>
  </bookViews>
  <sheets>
    <sheet name="2544 Geral" sheetId="4" r:id="rId1"/>
    <sheet name="2544 sem EP" sheetId="3" r:id="rId2"/>
    <sheet name="2544 EP apenas" sheetId="2" r:id="rId3"/>
  </sheets>
  <definedNames>
    <definedName name="_xlnm._FilterDatabase" localSheetId="0" hidden="1">'2544 Geral'!$A$1:$U$23</definedName>
  </definedNames>
  <calcPr calcId="162913"/>
</workbook>
</file>

<file path=xl/calcChain.xml><?xml version="1.0" encoding="utf-8"?>
<calcChain xmlns="http://schemas.openxmlformats.org/spreadsheetml/2006/main">
  <c r="U24" i="4" l="1"/>
  <c r="T24" i="4"/>
  <c r="S24" i="4"/>
  <c r="R24" i="4"/>
  <c r="Q24" i="4"/>
  <c r="P24" i="4"/>
  <c r="O24" i="4"/>
  <c r="N24" i="4"/>
  <c r="M24" i="4"/>
  <c r="L24" i="4"/>
  <c r="K24" i="4"/>
  <c r="J24" i="4"/>
  <c r="I24" i="4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J9" i="2"/>
  <c r="K9" i="2"/>
  <c r="L9" i="2"/>
  <c r="M9" i="2"/>
  <c r="N9" i="2"/>
  <c r="O9" i="2"/>
  <c r="P9" i="2"/>
  <c r="Q9" i="2"/>
  <c r="R9" i="2"/>
  <c r="S9" i="2"/>
  <c r="T9" i="2"/>
  <c r="U9" i="2"/>
  <c r="I9" i="2"/>
</calcChain>
</file>

<file path=xl/sharedStrings.xml><?xml version="1.0" encoding="utf-8"?>
<sst xmlns="http://schemas.openxmlformats.org/spreadsheetml/2006/main" count="418" uniqueCount="48">
  <si>
    <t>030 - Desenvolvimento do Desporto e do Lazer</t>
  </si>
  <si>
    <t>2544 - Gestão da Política para a Juventude e Desporto</t>
  </si>
  <si>
    <t>9900 - Estado</t>
  </si>
  <si>
    <t>Natureza</t>
  </si>
  <si>
    <t>Fonte</t>
  </si>
  <si>
    <t>Cod. Acomp.</t>
  </si>
  <si>
    <t>IDU</t>
  </si>
  <si>
    <t>TRO</t>
  </si>
  <si>
    <t>Inicial</t>
  </si>
  <si>
    <t>Suplementado</t>
  </si>
  <si>
    <t>Anulado</t>
  </si>
  <si>
    <t>Atual</t>
  </si>
  <si>
    <t>Bloqueado</t>
  </si>
  <si>
    <t>Cont/Reserva</t>
  </si>
  <si>
    <t>PED</t>
  </si>
  <si>
    <t>Empenhado</t>
  </si>
  <si>
    <t>Liquidado</t>
  </si>
  <si>
    <t>Valor em Liquidação</t>
  </si>
  <si>
    <t>Pago</t>
  </si>
  <si>
    <t>Disponível</t>
  </si>
  <si>
    <t>Restos a Pagar</t>
  </si>
  <si>
    <t>31901100</t>
  </si>
  <si>
    <t>1.500</t>
  </si>
  <si>
    <t>0000</t>
  </si>
  <si>
    <t>Não</t>
  </si>
  <si>
    <t>No</t>
  </si>
  <si>
    <t>31901300</t>
  </si>
  <si>
    <t>31901600</t>
  </si>
  <si>
    <t>31911300</t>
  </si>
  <si>
    <t>33404100</t>
  </si>
  <si>
    <t>EII</t>
  </si>
  <si>
    <t>33504100</t>
  </si>
  <si>
    <t>ECNI</t>
  </si>
  <si>
    <t>ECI</t>
  </si>
  <si>
    <t>33901400</t>
  </si>
  <si>
    <t>33903000</t>
  </si>
  <si>
    <t>33903200</t>
  </si>
  <si>
    <t>33903300</t>
  </si>
  <si>
    <t>1.599</t>
  </si>
  <si>
    <t>33903600</t>
  </si>
  <si>
    <t>33903700</t>
  </si>
  <si>
    <t>33903900</t>
  </si>
  <si>
    <t>33904000</t>
  </si>
  <si>
    <t>44905200</t>
  </si>
  <si>
    <t>Total Geral</t>
  </si>
  <si>
    <t>Programa de Governo</t>
  </si>
  <si>
    <t>PAOE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</si>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</sst>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 applyFont="1"/>
    <xf numFmtId="0" fontId="18" fillId="0" borderId="19" xfId="0" applyFont="1" applyBorder="1"/>
    <xf numFmtId="0" fontId="18" fillId="0" borderId="20" xfId="0" applyFont="1" applyBorder="1"/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9" fillId="0" borderId="0" xfId="0" applyFont="1"/>
    <xf numFmtId="0" fontId="19" fillId="0" borderId="11" xfId="0" applyFont="1" applyBorder="1"/>
    <xf numFmtId="0" fontId="19" fillId="0" borderId="12" xfId="0" applyFont="1" applyBorder="1"/>
    <xf numFmtId="0" fontId="19" fillId="0" borderId="12" xfId="0" applyFont="1" applyBorder="1" applyAlignment="1">
      <alignment horizontal="center"/>
    </xf>
    <xf numFmtId="43" fontId="19" fillId="0" borderId="12" xfId="1" applyFont="1" applyBorder="1" applyAlignment="1">
      <alignment horizontal="right"/>
    </xf>
    <xf numFmtId="43" fontId="19" fillId="0" borderId="13" xfId="1" applyFont="1" applyBorder="1" applyAlignment="1">
      <alignment horizontal="right"/>
    </xf>
    <xf numFmtId="0" fontId="19" fillId="0" borderId="14" xfId="0" applyFont="1" applyBorder="1"/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43" fontId="19" fillId="0" borderId="10" xfId="1" applyFont="1" applyBorder="1" applyAlignment="1">
      <alignment horizontal="right"/>
    </xf>
    <xf numFmtId="43" fontId="19" fillId="0" borderId="15" xfId="1" applyFont="1" applyBorder="1" applyAlignment="1">
      <alignment horizontal="right"/>
    </xf>
    <xf numFmtId="0" fontId="19" fillId="0" borderId="16" xfId="0" applyFont="1" applyBorder="1"/>
    <xf numFmtId="0" fontId="19" fillId="0" borderId="17" xfId="0" applyFont="1" applyBorder="1"/>
    <xf numFmtId="0" fontId="19" fillId="0" borderId="17" xfId="0" applyFont="1" applyBorder="1" applyAlignment="1">
      <alignment horizontal="center"/>
    </xf>
    <xf numFmtId="43" fontId="19" fillId="0" borderId="17" xfId="1" applyFont="1" applyBorder="1" applyAlignment="1">
      <alignment horizontal="right"/>
    </xf>
    <xf numFmtId="43" fontId="19" fillId="0" borderId="18" xfId="1" applyFont="1" applyBorder="1" applyAlignment="1">
      <alignment horizontal="right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43" fontId="18" fillId="0" borderId="23" xfId="1" applyFont="1" applyBorder="1" applyAlignment="1">
      <alignment horizontal="right"/>
    </xf>
    <xf numFmtId="43" fontId="18" fillId="0" borderId="24" xfId="1" applyFont="1" applyBorder="1" applyAlignment="1">
      <alignment horizontal="right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workbookViewId="0">
      <selection sqref="A1:XFD1"/>
    </sheetView>
  </sheetViews>
  <sheetFormatPr defaultRowHeight="11.25" x14ac:dyDescent="0.2"/>
  <cols>
    <col min="1" max="1" width="32.7109375" style="5" bestFit="1" customWidth="1"/>
    <col min="2" max="2" width="38.28515625" style="5" bestFit="1" customWidth="1"/>
    <col min="3" max="3" width="10" style="5" bestFit="1" customWidth="1"/>
    <col min="4" max="4" width="7.85546875" style="5" bestFit="1" customWidth="1"/>
    <col min="5" max="5" width="4.85546875" style="5" bestFit="1" customWidth="1"/>
    <col min="6" max="6" width="9.42578125" style="5" bestFit="1" customWidth="1"/>
    <col min="7" max="7" width="4" style="5" bestFit="1" customWidth="1"/>
    <col min="8" max="8" width="3.5703125" style="5" bestFit="1" customWidth="1"/>
    <col min="9" max="9" width="11.7109375" style="5" bestFit="1" customWidth="1"/>
    <col min="10" max="10" width="10.7109375" style="5" bestFit="1" customWidth="1"/>
    <col min="11" max="11" width="6.5703125" style="5" bestFit="1" customWidth="1"/>
    <col min="12" max="12" width="11.7109375" style="5" bestFit="1" customWidth="1"/>
    <col min="13" max="13" width="8.140625" style="5" bestFit="1" customWidth="1"/>
    <col min="14" max="14" width="10" style="5" bestFit="1" customWidth="1"/>
    <col min="15" max="15" width="4" style="5" bestFit="1" customWidth="1"/>
    <col min="16" max="16" width="8.85546875" style="5" bestFit="1" customWidth="1"/>
    <col min="17" max="17" width="7.5703125" style="5" bestFit="1" customWidth="1"/>
    <col min="18" max="18" width="14.5703125" style="5" bestFit="1" customWidth="1"/>
    <col min="19" max="19" width="4.140625" style="5" bestFit="1" customWidth="1"/>
    <col min="20" max="20" width="11.7109375" style="5" bestFit="1" customWidth="1"/>
    <col min="21" max="21" width="10.140625" style="5" bestFit="1" customWidth="1"/>
    <col min="22" max="16384" width="9.140625" style="5"/>
  </cols>
  <sheetData>
    <row r="1" spans="1:21" ht="12" thickBot="1" x14ac:dyDescent="0.25">
      <c r="A1" s="1" t="s">
        <v>45</v>
      </c>
      <c r="B1" s="2" t="s">
        <v>46</v>
      </c>
      <c r="C1" s="2" t="s">
        <v>47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">
      <c r="A2" s="6" t="s">
        <v>0</v>
      </c>
      <c r="B2" s="7" t="s">
        <v>1</v>
      </c>
      <c r="C2" s="7" t="s">
        <v>2</v>
      </c>
      <c r="D2" s="8" t="s">
        <v>21</v>
      </c>
      <c r="E2" s="8" t="s">
        <v>22</v>
      </c>
      <c r="F2" s="8" t="s">
        <v>23</v>
      </c>
      <c r="G2" s="8" t="s">
        <v>24</v>
      </c>
      <c r="H2" s="8" t="s">
        <v>25</v>
      </c>
      <c r="I2" s="9">
        <v>4251000</v>
      </c>
      <c r="J2" s="9"/>
      <c r="K2" s="9"/>
      <c r="L2" s="9">
        <v>4251000</v>
      </c>
      <c r="M2" s="9"/>
      <c r="N2" s="9"/>
      <c r="O2" s="9"/>
      <c r="P2" s="9"/>
      <c r="Q2" s="9"/>
      <c r="R2" s="9"/>
      <c r="S2" s="9"/>
      <c r="T2" s="9">
        <v>4251000</v>
      </c>
      <c r="U2" s="10"/>
    </row>
    <row r="3" spans="1:21" x14ac:dyDescent="0.2">
      <c r="A3" s="11" t="s">
        <v>0</v>
      </c>
      <c r="B3" s="12" t="s">
        <v>1</v>
      </c>
      <c r="C3" s="12" t="s">
        <v>2</v>
      </c>
      <c r="D3" s="13" t="s">
        <v>26</v>
      </c>
      <c r="E3" s="13" t="s">
        <v>22</v>
      </c>
      <c r="F3" s="13" t="s">
        <v>23</v>
      </c>
      <c r="G3" s="13" t="s">
        <v>24</v>
      </c>
      <c r="H3" s="13" t="s">
        <v>25</v>
      </c>
      <c r="I3" s="14">
        <v>506000</v>
      </c>
      <c r="J3" s="14"/>
      <c r="K3" s="14"/>
      <c r="L3" s="14">
        <v>506000</v>
      </c>
      <c r="M3" s="14"/>
      <c r="N3" s="14"/>
      <c r="O3" s="14"/>
      <c r="P3" s="14"/>
      <c r="Q3" s="14"/>
      <c r="R3" s="14"/>
      <c r="S3" s="14"/>
      <c r="T3" s="14">
        <v>506000</v>
      </c>
      <c r="U3" s="15"/>
    </row>
    <row r="4" spans="1:21" x14ac:dyDescent="0.2">
      <c r="A4" s="11" t="s">
        <v>0</v>
      </c>
      <c r="B4" s="12" t="s">
        <v>1</v>
      </c>
      <c r="C4" s="12" t="s">
        <v>2</v>
      </c>
      <c r="D4" s="13" t="s">
        <v>27</v>
      </c>
      <c r="E4" s="13" t="s">
        <v>22</v>
      </c>
      <c r="F4" s="13" t="s">
        <v>23</v>
      </c>
      <c r="G4" s="13" t="s">
        <v>24</v>
      </c>
      <c r="H4" s="13" t="s">
        <v>25</v>
      </c>
      <c r="I4" s="14">
        <v>3614</v>
      </c>
      <c r="J4" s="14"/>
      <c r="K4" s="14"/>
      <c r="L4" s="14">
        <v>3614</v>
      </c>
      <c r="M4" s="14"/>
      <c r="N4" s="14"/>
      <c r="O4" s="14"/>
      <c r="P4" s="14"/>
      <c r="Q4" s="14"/>
      <c r="R4" s="14"/>
      <c r="S4" s="14"/>
      <c r="T4" s="14">
        <v>3614</v>
      </c>
      <c r="U4" s="15"/>
    </row>
    <row r="5" spans="1:21" x14ac:dyDescent="0.2">
      <c r="A5" s="11" t="s">
        <v>0</v>
      </c>
      <c r="B5" s="12" t="s">
        <v>1</v>
      </c>
      <c r="C5" s="12" t="s">
        <v>2</v>
      </c>
      <c r="D5" s="13" t="s">
        <v>28</v>
      </c>
      <c r="E5" s="13" t="s">
        <v>22</v>
      </c>
      <c r="F5" s="13" t="s">
        <v>23</v>
      </c>
      <c r="G5" s="13" t="s">
        <v>24</v>
      </c>
      <c r="H5" s="13" t="s">
        <v>25</v>
      </c>
      <c r="I5" s="14">
        <v>300000</v>
      </c>
      <c r="J5" s="14"/>
      <c r="K5" s="14"/>
      <c r="L5" s="14">
        <v>300000</v>
      </c>
      <c r="M5" s="14"/>
      <c r="N5" s="14"/>
      <c r="O5" s="14"/>
      <c r="P5" s="14"/>
      <c r="Q5" s="14"/>
      <c r="R5" s="14"/>
      <c r="S5" s="14"/>
      <c r="T5" s="14">
        <v>300000</v>
      </c>
      <c r="U5" s="15"/>
    </row>
    <row r="6" spans="1:21" x14ac:dyDescent="0.2">
      <c r="A6" s="11" t="s">
        <v>0</v>
      </c>
      <c r="B6" s="12" t="s">
        <v>1</v>
      </c>
      <c r="C6" s="12" t="s">
        <v>2</v>
      </c>
      <c r="D6" s="13" t="s">
        <v>29</v>
      </c>
      <c r="E6" s="13" t="s">
        <v>22</v>
      </c>
      <c r="F6" s="13" t="s">
        <v>23</v>
      </c>
      <c r="G6" s="13" t="s">
        <v>30</v>
      </c>
      <c r="H6" s="13" t="s">
        <v>25</v>
      </c>
      <c r="I6" s="14">
        <v>720000</v>
      </c>
      <c r="J6" s="14"/>
      <c r="K6" s="14"/>
      <c r="L6" s="14">
        <v>720000</v>
      </c>
      <c r="M6" s="14"/>
      <c r="N6" s="14"/>
      <c r="O6" s="14"/>
      <c r="P6" s="14"/>
      <c r="Q6" s="14"/>
      <c r="R6" s="14"/>
      <c r="S6" s="14"/>
      <c r="T6" s="14">
        <v>720000</v>
      </c>
      <c r="U6" s="15"/>
    </row>
    <row r="7" spans="1:21" x14ac:dyDescent="0.2">
      <c r="A7" s="11" t="s">
        <v>0</v>
      </c>
      <c r="B7" s="12" t="s">
        <v>1</v>
      </c>
      <c r="C7" s="12" t="s">
        <v>2</v>
      </c>
      <c r="D7" s="13" t="s">
        <v>31</v>
      </c>
      <c r="E7" s="13" t="s">
        <v>22</v>
      </c>
      <c r="F7" s="13" t="s">
        <v>23</v>
      </c>
      <c r="G7" s="13" t="s">
        <v>24</v>
      </c>
      <c r="H7" s="13" t="s">
        <v>25</v>
      </c>
      <c r="I7" s="14">
        <v>190000</v>
      </c>
      <c r="J7" s="14"/>
      <c r="K7" s="14"/>
      <c r="L7" s="14">
        <v>190000</v>
      </c>
      <c r="M7" s="14"/>
      <c r="N7" s="14"/>
      <c r="O7" s="14"/>
      <c r="P7" s="14"/>
      <c r="Q7" s="14"/>
      <c r="R7" s="14"/>
      <c r="S7" s="14"/>
      <c r="T7" s="14">
        <v>190000</v>
      </c>
      <c r="U7" s="15"/>
    </row>
    <row r="8" spans="1:21" x14ac:dyDescent="0.2">
      <c r="A8" s="11" t="s">
        <v>0</v>
      </c>
      <c r="B8" s="12" t="s">
        <v>1</v>
      </c>
      <c r="C8" s="12" t="s">
        <v>2</v>
      </c>
      <c r="D8" s="13" t="s">
        <v>31</v>
      </c>
      <c r="E8" s="13" t="s">
        <v>22</v>
      </c>
      <c r="F8" s="13" t="s">
        <v>23</v>
      </c>
      <c r="G8" s="13" t="s">
        <v>32</v>
      </c>
      <c r="H8" s="13" t="s">
        <v>25</v>
      </c>
      <c r="I8" s="14">
        <v>10750000</v>
      </c>
      <c r="J8" s="14"/>
      <c r="K8" s="14"/>
      <c r="L8" s="14">
        <v>10750000</v>
      </c>
      <c r="M8" s="14"/>
      <c r="N8" s="14"/>
      <c r="O8" s="14"/>
      <c r="P8" s="14"/>
      <c r="Q8" s="14"/>
      <c r="R8" s="14"/>
      <c r="S8" s="14"/>
      <c r="T8" s="14">
        <v>10750000</v>
      </c>
      <c r="U8" s="15"/>
    </row>
    <row r="9" spans="1:21" x14ac:dyDescent="0.2">
      <c r="A9" s="11" t="s">
        <v>0</v>
      </c>
      <c r="B9" s="12" t="s">
        <v>1</v>
      </c>
      <c r="C9" s="12" t="s">
        <v>2</v>
      </c>
      <c r="D9" s="13" t="s">
        <v>31</v>
      </c>
      <c r="E9" s="13" t="s">
        <v>22</v>
      </c>
      <c r="F9" s="13" t="s">
        <v>23</v>
      </c>
      <c r="G9" s="13" t="s">
        <v>33</v>
      </c>
      <c r="H9" s="13" t="s">
        <v>25</v>
      </c>
      <c r="I9" s="14">
        <v>3724670</v>
      </c>
      <c r="J9" s="14"/>
      <c r="K9" s="14"/>
      <c r="L9" s="14">
        <v>3724670</v>
      </c>
      <c r="M9" s="14"/>
      <c r="N9" s="14"/>
      <c r="O9" s="14"/>
      <c r="P9" s="14"/>
      <c r="Q9" s="14"/>
      <c r="R9" s="14"/>
      <c r="S9" s="14"/>
      <c r="T9" s="14">
        <v>3724670</v>
      </c>
      <c r="U9" s="15"/>
    </row>
    <row r="10" spans="1:21" x14ac:dyDescent="0.2">
      <c r="A10" s="11" t="s">
        <v>0</v>
      </c>
      <c r="B10" s="12" t="s">
        <v>1</v>
      </c>
      <c r="C10" s="12" t="s">
        <v>2</v>
      </c>
      <c r="D10" s="13" t="s">
        <v>31</v>
      </c>
      <c r="E10" s="13" t="s">
        <v>22</v>
      </c>
      <c r="F10" s="13" t="s">
        <v>23</v>
      </c>
      <c r="G10" s="13" t="s">
        <v>30</v>
      </c>
      <c r="H10" s="13" t="s">
        <v>25</v>
      </c>
      <c r="I10" s="14">
        <v>1874335</v>
      </c>
      <c r="J10" s="14"/>
      <c r="K10" s="14"/>
      <c r="L10" s="14">
        <v>1874335</v>
      </c>
      <c r="M10" s="14"/>
      <c r="N10" s="14"/>
      <c r="O10" s="14"/>
      <c r="P10" s="14"/>
      <c r="Q10" s="14"/>
      <c r="R10" s="14"/>
      <c r="S10" s="14"/>
      <c r="T10" s="14">
        <v>1874335</v>
      </c>
      <c r="U10" s="15"/>
    </row>
    <row r="11" spans="1:21" x14ac:dyDescent="0.2">
      <c r="A11" s="11" t="s">
        <v>0</v>
      </c>
      <c r="B11" s="12" t="s">
        <v>1</v>
      </c>
      <c r="C11" s="12" t="s">
        <v>2</v>
      </c>
      <c r="D11" s="13" t="s">
        <v>34</v>
      </c>
      <c r="E11" s="13" t="s">
        <v>22</v>
      </c>
      <c r="F11" s="13" t="s">
        <v>23</v>
      </c>
      <c r="G11" s="13" t="s">
        <v>24</v>
      </c>
      <c r="H11" s="13" t="s">
        <v>25</v>
      </c>
      <c r="I11" s="14">
        <v>165000</v>
      </c>
      <c r="J11" s="14"/>
      <c r="K11" s="14"/>
      <c r="L11" s="14">
        <v>165000</v>
      </c>
      <c r="M11" s="14"/>
      <c r="N11" s="14"/>
      <c r="O11" s="14"/>
      <c r="P11" s="14"/>
      <c r="Q11" s="14"/>
      <c r="R11" s="14"/>
      <c r="S11" s="14"/>
      <c r="T11" s="14">
        <v>165000</v>
      </c>
      <c r="U11" s="15"/>
    </row>
    <row r="12" spans="1:21" x14ac:dyDescent="0.2">
      <c r="A12" s="11" t="s">
        <v>0</v>
      </c>
      <c r="B12" s="12" t="s">
        <v>1</v>
      </c>
      <c r="C12" s="12" t="s">
        <v>2</v>
      </c>
      <c r="D12" s="13" t="s">
        <v>35</v>
      </c>
      <c r="E12" s="13" t="s">
        <v>22</v>
      </c>
      <c r="F12" s="13" t="s">
        <v>23</v>
      </c>
      <c r="G12" s="13" t="s">
        <v>24</v>
      </c>
      <c r="H12" s="13" t="s">
        <v>25</v>
      </c>
      <c r="I12" s="14">
        <v>861000</v>
      </c>
      <c r="J12" s="14"/>
      <c r="K12" s="14"/>
      <c r="L12" s="14">
        <v>861000</v>
      </c>
      <c r="M12" s="14"/>
      <c r="N12" s="14"/>
      <c r="O12" s="14"/>
      <c r="P12" s="14"/>
      <c r="Q12" s="14"/>
      <c r="R12" s="14"/>
      <c r="S12" s="14"/>
      <c r="T12" s="14">
        <v>861000</v>
      </c>
      <c r="U12" s="15"/>
    </row>
    <row r="13" spans="1:21" x14ac:dyDescent="0.2">
      <c r="A13" s="11" t="s">
        <v>0</v>
      </c>
      <c r="B13" s="12" t="s">
        <v>1</v>
      </c>
      <c r="C13" s="12" t="s">
        <v>2</v>
      </c>
      <c r="D13" s="13" t="s">
        <v>36</v>
      </c>
      <c r="E13" s="13" t="s">
        <v>22</v>
      </c>
      <c r="F13" s="13" t="s">
        <v>23</v>
      </c>
      <c r="G13" s="13" t="s">
        <v>24</v>
      </c>
      <c r="H13" s="13" t="s">
        <v>25</v>
      </c>
      <c r="I13" s="14">
        <v>251000</v>
      </c>
      <c r="J13" s="14"/>
      <c r="K13" s="14"/>
      <c r="L13" s="14">
        <v>251000</v>
      </c>
      <c r="M13" s="14"/>
      <c r="N13" s="14"/>
      <c r="O13" s="14"/>
      <c r="P13" s="14"/>
      <c r="Q13" s="14"/>
      <c r="R13" s="14"/>
      <c r="S13" s="14"/>
      <c r="T13" s="14">
        <v>251000</v>
      </c>
      <c r="U13" s="15"/>
    </row>
    <row r="14" spans="1:21" x14ac:dyDescent="0.2">
      <c r="A14" s="11" t="s">
        <v>0</v>
      </c>
      <c r="B14" s="12" t="s">
        <v>1</v>
      </c>
      <c r="C14" s="12" t="s">
        <v>2</v>
      </c>
      <c r="D14" s="13" t="s">
        <v>37</v>
      </c>
      <c r="E14" s="13" t="s">
        <v>22</v>
      </c>
      <c r="F14" s="13" t="s">
        <v>23</v>
      </c>
      <c r="G14" s="13" t="s">
        <v>24</v>
      </c>
      <c r="H14" s="13" t="s">
        <v>25</v>
      </c>
      <c r="I14" s="14">
        <v>1099047</v>
      </c>
      <c r="J14" s="14"/>
      <c r="K14" s="14"/>
      <c r="L14" s="14">
        <v>1099047</v>
      </c>
      <c r="M14" s="14"/>
      <c r="N14" s="14"/>
      <c r="O14" s="14"/>
      <c r="P14" s="14"/>
      <c r="Q14" s="14"/>
      <c r="R14" s="14"/>
      <c r="S14" s="14"/>
      <c r="T14" s="14">
        <v>1099047</v>
      </c>
      <c r="U14" s="15"/>
    </row>
    <row r="15" spans="1:21" x14ac:dyDescent="0.2">
      <c r="A15" s="11" t="s">
        <v>0</v>
      </c>
      <c r="B15" s="12" t="s">
        <v>1</v>
      </c>
      <c r="C15" s="12" t="s">
        <v>2</v>
      </c>
      <c r="D15" s="13" t="s">
        <v>37</v>
      </c>
      <c r="E15" s="13" t="s">
        <v>38</v>
      </c>
      <c r="F15" s="13" t="s">
        <v>23</v>
      </c>
      <c r="G15" s="13" t="s">
        <v>24</v>
      </c>
      <c r="H15" s="13" t="s">
        <v>25</v>
      </c>
      <c r="I15" s="14">
        <v>545782</v>
      </c>
      <c r="J15" s="14"/>
      <c r="K15" s="14"/>
      <c r="L15" s="14">
        <v>545782</v>
      </c>
      <c r="M15" s="14"/>
      <c r="N15" s="14"/>
      <c r="O15" s="14"/>
      <c r="P15" s="14"/>
      <c r="Q15" s="14"/>
      <c r="R15" s="14"/>
      <c r="S15" s="14"/>
      <c r="T15" s="14">
        <v>545782</v>
      </c>
      <c r="U15" s="15"/>
    </row>
    <row r="16" spans="1:21" x14ac:dyDescent="0.2">
      <c r="A16" s="11" t="s">
        <v>0</v>
      </c>
      <c r="B16" s="12" t="s">
        <v>1</v>
      </c>
      <c r="C16" s="12" t="s">
        <v>2</v>
      </c>
      <c r="D16" s="13" t="s">
        <v>39</v>
      </c>
      <c r="E16" s="13" t="s">
        <v>22</v>
      </c>
      <c r="F16" s="13" t="s">
        <v>23</v>
      </c>
      <c r="G16" s="13" t="s">
        <v>24</v>
      </c>
      <c r="H16" s="13" t="s">
        <v>25</v>
      </c>
      <c r="I16" s="14">
        <v>115000</v>
      </c>
      <c r="J16" s="14"/>
      <c r="K16" s="14"/>
      <c r="L16" s="14">
        <v>115000</v>
      </c>
      <c r="M16" s="14"/>
      <c r="N16" s="14"/>
      <c r="O16" s="14"/>
      <c r="P16" s="14"/>
      <c r="Q16" s="14"/>
      <c r="R16" s="14"/>
      <c r="S16" s="14"/>
      <c r="T16" s="14">
        <v>115000</v>
      </c>
      <c r="U16" s="15"/>
    </row>
    <row r="17" spans="1:21" x14ac:dyDescent="0.2">
      <c r="A17" s="11" t="s">
        <v>0</v>
      </c>
      <c r="B17" s="12" t="s">
        <v>1</v>
      </c>
      <c r="C17" s="12" t="s">
        <v>2</v>
      </c>
      <c r="D17" s="13" t="s">
        <v>40</v>
      </c>
      <c r="E17" s="13" t="s">
        <v>22</v>
      </c>
      <c r="F17" s="13" t="s">
        <v>23</v>
      </c>
      <c r="G17" s="13" t="s">
        <v>24</v>
      </c>
      <c r="H17" s="13" t="s">
        <v>25</v>
      </c>
      <c r="I17" s="14">
        <v>400000</v>
      </c>
      <c r="J17" s="14"/>
      <c r="K17" s="14"/>
      <c r="L17" s="14">
        <v>400000</v>
      </c>
      <c r="M17" s="14"/>
      <c r="N17" s="14"/>
      <c r="O17" s="14"/>
      <c r="P17" s="14"/>
      <c r="Q17" s="14"/>
      <c r="R17" s="14"/>
      <c r="S17" s="14"/>
      <c r="T17" s="14">
        <v>400000</v>
      </c>
      <c r="U17" s="15"/>
    </row>
    <row r="18" spans="1:21" x14ac:dyDescent="0.2">
      <c r="A18" s="11" t="s">
        <v>0</v>
      </c>
      <c r="B18" s="12" t="s">
        <v>1</v>
      </c>
      <c r="C18" s="12" t="s">
        <v>2</v>
      </c>
      <c r="D18" s="13" t="s">
        <v>41</v>
      </c>
      <c r="E18" s="13" t="s">
        <v>22</v>
      </c>
      <c r="F18" s="13" t="s">
        <v>23</v>
      </c>
      <c r="G18" s="13" t="s">
        <v>24</v>
      </c>
      <c r="H18" s="13" t="s">
        <v>25</v>
      </c>
      <c r="I18" s="14">
        <v>1818339</v>
      </c>
      <c r="J18" s="14"/>
      <c r="K18" s="14"/>
      <c r="L18" s="14">
        <v>1818339</v>
      </c>
      <c r="M18" s="14"/>
      <c r="N18" s="14"/>
      <c r="O18" s="14"/>
      <c r="P18" s="14"/>
      <c r="Q18" s="14"/>
      <c r="R18" s="14"/>
      <c r="S18" s="14"/>
      <c r="T18" s="14">
        <v>1818339</v>
      </c>
      <c r="U18" s="15"/>
    </row>
    <row r="19" spans="1:21" x14ac:dyDescent="0.2">
      <c r="A19" s="11" t="s">
        <v>0</v>
      </c>
      <c r="B19" s="12" t="s">
        <v>1</v>
      </c>
      <c r="C19" s="12" t="s">
        <v>2</v>
      </c>
      <c r="D19" s="13" t="s">
        <v>41</v>
      </c>
      <c r="E19" s="13" t="s">
        <v>22</v>
      </c>
      <c r="F19" s="13" t="s">
        <v>23</v>
      </c>
      <c r="G19" s="13" t="s">
        <v>32</v>
      </c>
      <c r="H19" s="13" t="s">
        <v>25</v>
      </c>
      <c r="I19" s="14">
        <v>2000000</v>
      </c>
      <c r="J19" s="14"/>
      <c r="K19" s="14"/>
      <c r="L19" s="14">
        <v>2000000</v>
      </c>
      <c r="M19" s="14"/>
      <c r="N19" s="14"/>
      <c r="O19" s="14"/>
      <c r="P19" s="14"/>
      <c r="Q19" s="14"/>
      <c r="R19" s="14"/>
      <c r="S19" s="14"/>
      <c r="T19" s="14">
        <v>2000000</v>
      </c>
      <c r="U19" s="15"/>
    </row>
    <row r="20" spans="1:21" x14ac:dyDescent="0.2">
      <c r="A20" s="11" t="s">
        <v>0</v>
      </c>
      <c r="B20" s="12" t="s">
        <v>1</v>
      </c>
      <c r="C20" s="12" t="s">
        <v>2</v>
      </c>
      <c r="D20" s="13" t="s">
        <v>41</v>
      </c>
      <c r="E20" s="13" t="s">
        <v>22</v>
      </c>
      <c r="F20" s="13" t="s">
        <v>23</v>
      </c>
      <c r="G20" s="13" t="s">
        <v>33</v>
      </c>
      <c r="H20" s="13" t="s">
        <v>25</v>
      </c>
      <c r="I20" s="14">
        <v>1827335</v>
      </c>
      <c r="J20" s="14"/>
      <c r="K20" s="14"/>
      <c r="L20" s="14">
        <v>1827335</v>
      </c>
      <c r="M20" s="14"/>
      <c r="N20" s="14"/>
      <c r="O20" s="14"/>
      <c r="P20" s="14"/>
      <c r="Q20" s="14"/>
      <c r="R20" s="14"/>
      <c r="S20" s="14"/>
      <c r="T20" s="14">
        <v>1827335</v>
      </c>
      <c r="U20" s="15"/>
    </row>
    <row r="21" spans="1:21" x14ac:dyDescent="0.2">
      <c r="A21" s="11" t="s">
        <v>0</v>
      </c>
      <c r="B21" s="12" t="s">
        <v>1</v>
      </c>
      <c r="C21" s="12" t="s">
        <v>2</v>
      </c>
      <c r="D21" s="13" t="s">
        <v>41</v>
      </c>
      <c r="E21" s="13" t="s">
        <v>22</v>
      </c>
      <c r="F21" s="13" t="s">
        <v>23</v>
      </c>
      <c r="G21" s="13" t="s">
        <v>30</v>
      </c>
      <c r="H21" s="13" t="s">
        <v>25</v>
      </c>
      <c r="I21" s="14">
        <v>812335</v>
      </c>
      <c r="J21" s="14"/>
      <c r="K21" s="14"/>
      <c r="L21" s="14">
        <v>812335</v>
      </c>
      <c r="M21" s="14"/>
      <c r="N21" s="14"/>
      <c r="O21" s="14"/>
      <c r="P21" s="14"/>
      <c r="Q21" s="14"/>
      <c r="R21" s="14"/>
      <c r="S21" s="14"/>
      <c r="T21" s="14">
        <v>812335</v>
      </c>
      <c r="U21" s="15"/>
    </row>
    <row r="22" spans="1:21" x14ac:dyDescent="0.2">
      <c r="A22" s="11" t="s">
        <v>0</v>
      </c>
      <c r="B22" s="12" t="s">
        <v>1</v>
      </c>
      <c r="C22" s="12" t="s">
        <v>2</v>
      </c>
      <c r="D22" s="13" t="s">
        <v>42</v>
      </c>
      <c r="E22" s="13" t="s">
        <v>22</v>
      </c>
      <c r="F22" s="13" t="s">
        <v>23</v>
      </c>
      <c r="G22" s="13" t="s">
        <v>24</v>
      </c>
      <c r="H22" s="13" t="s">
        <v>25</v>
      </c>
      <c r="I22" s="14">
        <v>100000</v>
      </c>
      <c r="J22" s="14"/>
      <c r="K22" s="14"/>
      <c r="L22" s="14">
        <v>100000</v>
      </c>
      <c r="M22" s="14"/>
      <c r="N22" s="14"/>
      <c r="O22" s="14"/>
      <c r="P22" s="14"/>
      <c r="Q22" s="14"/>
      <c r="R22" s="14"/>
      <c r="S22" s="14"/>
      <c r="T22" s="14">
        <v>100000</v>
      </c>
      <c r="U22" s="15"/>
    </row>
    <row r="23" spans="1:21" ht="12" thickBot="1" x14ac:dyDescent="0.25">
      <c r="A23" s="16" t="s">
        <v>0</v>
      </c>
      <c r="B23" s="17" t="s">
        <v>1</v>
      </c>
      <c r="C23" s="17" t="s">
        <v>2</v>
      </c>
      <c r="D23" s="18" t="s">
        <v>43</v>
      </c>
      <c r="E23" s="18" t="s">
        <v>22</v>
      </c>
      <c r="F23" s="18" t="s">
        <v>23</v>
      </c>
      <c r="G23" s="18" t="s">
        <v>24</v>
      </c>
      <c r="H23" s="18" t="s">
        <v>25</v>
      </c>
      <c r="I23" s="19">
        <v>130000</v>
      </c>
      <c r="J23" s="19"/>
      <c r="K23" s="19"/>
      <c r="L23" s="19">
        <v>130000</v>
      </c>
      <c r="M23" s="19"/>
      <c r="N23" s="19"/>
      <c r="O23" s="19"/>
      <c r="P23" s="19"/>
      <c r="Q23" s="19"/>
      <c r="R23" s="19"/>
      <c r="S23" s="19"/>
      <c r="T23" s="19">
        <v>130000</v>
      </c>
      <c r="U23" s="20"/>
    </row>
    <row r="24" spans="1:21" ht="12" thickBot="1" x14ac:dyDescent="0.25">
      <c r="A24" s="21" t="s">
        <v>44</v>
      </c>
      <c r="B24" s="22"/>
      <c r="C24" s="22"/>
      <c r="D24" s="22"/>
      <c r="E24" s="22"/>
      <c r="F24" s="22"/>
      <c r="G24" s="22"/>
      <c r="H24" s="22"/>
      <c r="I24" s="23">
        <f>SUBTOTAL(9,I2:I23)</f>
        <v>32444457</v>
      </c>
      <c r="J24" s="23">
        <f t="shared" ref="J24:U24" si="0">SUBTOTAL(9,J2:J23)</f>
        <v>0</v>
      </c>
      <c r="K24" s="23">
        <f t="shared" si="0"/>
        <v>0</v>
      </c>
      <c r="L24" s="23">
        <f t="shared" si="0"/>
        <v>32444457</v>
      </c>
      <c r="M24" s="23">
        <f t="shared" si="0"/>
        <v>0</v>
      </c>
      <c r="N24" s="23">
        <f t="shared" si="0"/>
        <v>0</v>
      </c>
      <c r="O24" s="23">
        <f t="shared" si="0"/>
        <v>0</v>
      </c>
      <c r="P24" s="23">
        <f t="shared" si="0"/>
        <v>0</v>
      </c>
      <c r="Q24" s="23">
        <f t="shared" si="0"/>
        <v>0</v>
      </c>
      <c r="R24" s="23">
        <f t="shared" si="0"/>
        <v>0</v>
      </c>
      <c r="S24" s="23">
        <f t="shared" si="0"/>
        <v>0</v>
      </c>
      <c r="T24" s="23">
        <f t="shared" si="0"/>
        <v>32444457</v>
      </c>
      <c r="U24" s="24">
        <f t="shared" si="0"/>
        <v>0</v>
      </c>
    </row>
  </sheetData>
  <autoFilter ref="A1:U23"/>
  <mergeCells count="1">
    <mergeCell ref="A24:H24"/>
  </mergeCells>
  <pageMargins left="0.2" right="0" top="0.2" bottom="0.2" header="0" footer="0.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workbookViewId="0">
      <selection activeCell="A15" sqref="A15:XFD15"/>
    </sheetView>
  </sheetViews>
  <sheetFormatPr defaultRowHeight="11.25" x14ac:dyDescent="0.2"/>
  <cols>
    <col min="1" max="1" width="32.7109375" style="5" bestFit="1" customWidth="1"/>
    <col min="2" max="2" width="38.28515625" style="5" bestFit="1" customWidth="1"/>
    <col min="3" max="3" width="10" style="5" bestFit="1" customWidth="1"/>
    <col min="4" max="4" width="7.85546875" style="5" bestFit="1" customWidth="1"/>
    <col min="5" max="5" width="4.85546875" style="5" bestFit="1" customWidth="1"/>
    <col min="6" max="6" width="9.42578125" style="5" bestFit="1" customWidth="1"/>
    <col min="7" max="7" width="4" style="5" bestFit="1" customWidth="1"/>
    <col min="8" max="8" width="3.5703125" style="5" bestFit="1" customWidth="1"/>
    <col min="9" max="9" width="11.7109375" style="5" bestFit="1" customWidth="1"/>
    <col min="10" max="10" width="10.7109375" style="5" bestFit="1" customWidth="1"/>
    <col min="11" max="11" width="6.5703125" style="5" bestFit="1" customWidth="1"/>
    <col min="12" max="12" width="11.7109375" style="5" bestFit="1" customWidth="1"/>
    <col min="13" max="13" width="8.140625" style="5" bestFit="1" customWidth="1"/>
    <col min="14" max="14" width="10" style="5" bestFit="1" customWidth="1"/>
    <col min="15" max="15" width="4" style="5" bestFit="1" customWidth="1"/>
    <col min="16" max="16" width="8.85546875" style="5" bestFit="1" customWidth="1"/>
    <col min="17" max="17" width="7.5703125" style="5" bestFit="1" customWidth="1"/>
    <col min="18" max="18" width="14.5703125" style="5" bestFit="1" customWidth="1"/>
    <col min="19" max="19" width="4.140625" style="5" bestFit="1" customWidth="1"/>
    <col min="20" max="20" width="11.7109375" style="5" bestFit="1" customWidth="1"/>
    <col min="21" max="21" width="10.140625" style="5" bestFit="1" customWidth="1"/>
    <col min="22" max="16384" width="9.140625" style="5"/>
  </cols>
  <sheetData>
    <row r="1" spans="1:21" ht="12" thickBot="1" x14ac:dyDescent="0.25">
      <c r="A1" s="1" t="s">
        <v>45</v>
      </c>
      <c r="B1" s="2" t="s">
        <v>46</v>
      </c>
      <c r="C1" s="2" t="s">
        <v>47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">
      <c r="A2" s="6" t="s">
        <v>0</v>
      </c>
      <c r="B2" s="7" t="s">
        <v>1</v>
      </c>
      <c r="C2" s="7" t="s">
        <v>2</v>
      </c>
      <c r="D2" s="8" t="s">
        <v>21</v>
      </c>
      <c r="E2" s="8" t="s">
        <v>22</v>
      </c>
      <c r="F2" s="8" t="s">
        <v>23</v>
      </c>
      <c r="G2" s="8" t="s">
        <v>24</v>
      </c>
      <c r="H2" s="8" t="s">
        <v>25</v>
      </c>
      <c r="I2" s="9">
        <v>4251000</v>
      </c>
      <c r="J2" s="9"/>
      <c r="K2" s="9"/>
      <c r="L2" s="9">
        <v>4251000</v>
      </c>
      <c r="M2" s="9"/>
      <c r="N2" s="9"/>
      <c r="O2" s="9"/>
      <c r="P2" s="9"/>
      <c r="Q2" s="9"/>
      <c r="R2" s="9"/>
      <c r="S2" s="9"/>
      <c r="T2" s="9">
        <v>4251000</v>
      </c>
      <c r="U2" s="10"/>
    </row>
    <row r="3" spans="1:21" x14ac:dyDescent="0.2">
      <c r="A3" s="11" t="s">
        <v>0</v>
      </c>
      <c r="B3" s="12" t="s">
        <v>1</v>
      </c>
      <c r="C3" s="12" t="s">
        <v>2</v>
      </c>
      <c r="D3" s="13" t="s">
        <v>26</v>
      </c>
      <c r="E3" s="13" t="s">
        <v>22</v>
      </c>
      <c r="F3" s="13" t="s">
        <v>23</v>
      </c>
      <c r="G3" s="13" t="s">
        <v>24</v>
      </c>
      <c r="H3" s="13" t="s">
        <v>25</v>
      </c>
      <c r="I3" s="14">
        <v>506000</v>
      </c>
      <c r="J3" s="14"/>
      <c r="K3" s="14"/>
      <c r="L3" s="14">
        <v>506000</v>
      </c>
      <c r="M3" s="14"/>
      <c r="N3" s="14"/>
      <c r="O3" s="14"/>
      <c r="P3" s="14"/>
      <c r="Q3" s="14"/>
      <c r="R3" s="14"/>
      <c r="S3" s="14"/>
      <c r="T3" s="14">
        <v>506000</v>
      </c>
      <c r="U3" s="15"/>
    </row>
    <row r="4" spans="1:21" x14ac:dyDescent="0.2">
      <c r="A4" s="11" t="s">
        <v>0</v>
      </c>
      <c r="B4" s="12" t="s">
        <v>1</v>
      </c>
      <c r="C4" s="12" t="s">
        <v>2</v>
      </c>
      <c r="D4" s="13" t="s">
        <v>27</v>
      </c>
      <c r="E4" s="13" t="s">
        <v>22</v>
      </c>
      <c r="F4" s="13" t="s">
        <v>23</v>
      </c>
      <c r="G4" s="13" t="s">
        <v>24</v>
      </c>
      <c r="H4" s="13" t="s">
        <v>25</v>
      </c>
      <c r="I4" s="14">
        <v>3614</v>
      </c>
      <c r="J4" s="14"/>
      <c r="K4" s="14"/>
      <c r="L4" s="14">
        <v>3614</v>
      </c>
      <c r="M4" s="14"/>
      <c r="N4" s="14"/>
      <c r="O4" s="14"/>
      <c r="P4" s="14"/>
      <c r="Q4" s="14"/>
      <c r="R4" s="14"/>
      <c r="S4" s="14"/>
      <c r="T4" s="14">
        <v>3614</v>
      </c>
      <c r="U4" s="15"/>
    </row>
    <row r="5" spans="1:21" x14ac:dyDescent="0.2">
      <c r="A5" s="11" t="s">
        <v>0</v>
      </c>
      <c r="B5" s="12" t="s">
        <v>1</v>
      </c>
      <c r="C5" s="12" t="s">
        <v>2</v>
      </c>
      <c r="D5" s="13" t="s">
        <v>28</v>
      </c>
      <c r="E5" s="13" t="s">
        <v>22</v>
      </c>
      <c r="F5" s="13" t="s">
        <v>23</v>
      </c>
      <c r="G5" s="13" t="s">
        <v>24</v>
      </c>
      <c r="H5" s="13" t="s">
        <v>25</v>
      </c>
      <c r="I5" s="14">
        <v>300000</v>
      </c>
      <c r="J5" s="14"/>
      <c r="K5" s="14"/>
      <c r="L5" s="14">
        <v>300000</v>
      </c>
      <c r="M5" s="14"/>
      <c r="N5" s="14"/>
      <c r="O5" s="14"/>
      <c r="P5" s="14"/>
      <c r="Q5" s="14"/>
      <c r="R5" s="14"/>
      <c r="S5" s="14"/>
      <c r="T5" s="14">
        <v>300000</v>
      </c>
      <c r="U5" s="15"/>
    </row>
    <row r="6" spans="1:21" x14ac:dyDescent="0.2">
      <c r="A6" s="11" t="s">
        <v>0</v>
      </c>
      <c r="B6" s="12" t="s">
        <v>1</v>
      </c>
      <c r="C6" s="12" t="s">
        <v>2</v>
      </c>
      <c r="D6" s="13" t="s">
        <v>31</v>
      </c>
      <c r="E6" s="13" t="s">
        <v>22</v>
      </c>
      <c r="F6" s="13" t="s">
        <v>23</v>
      </c>
      <c r="G6" s="13" t="s">
        <v>24</v>
      </c>
      <c r="H6" s="13" t="s">
        <v>25</v>
      </c>
      <c r="I6" s="14">
        <v>190000</v>
      </c>
      <c r="J6" s="14"/>
      <c r="K6" s="14"/>
      <c r="L6" s="14">
        <v>190000</v>
      </c>
      <c r="M6" s="14"/>
      <c r="N6" s="14"/>
      <c r="O6" s="14"/>
      <c r="P6" s="14"/>
      <c r="Q6" s="14"/>
      <c r="R6" s="14"/>
      <c r="S6" s="14"/>
      <c r="T6" s="14">
        <v>190000</v>
      </c>
      <c r="U6" s="15"/>
    </row>
    <row r="7" spans="1:21" x14ac:dyDescent="0.2">
      <c r="A7" s="11" t="s">
        <v>0</v>
      </c>
      <c r="B7" s="12" t="s">
        <v>1</v>
      </c>
      <c r="C7" s="12" t="s">
        <v>2</v>
      </c>
      <c r="D7" s="13" t="s">
        <v>34</v>
      </c>
      <c r="E7" s="13" t="s">
        <v>22</v>
      </c>
      <c r="F7" s="13" t="s">
        <v>23</v>
      </c>
      <c r="G7" s="13" t="s">
        <v>24</v>
      </c>
      <c r="H7" s="13" t="s">
        <v>25</v>
      </c>
      <c r="I7" s="14">
        <v>165000</v>
      </c>
      <c r="J7" s="14"/>
      <c r="K7" s="14"/>
      <c r="L7" s="14">
        <v>165000</v>
      </c>
      <c r="M7" s="14"/>
      <c r="N7" s="14"/>
      <c r="O7" s="14"/>
      <c r="P7" s="14"/>
      <c r="Q7" s="14"/>
      <c r="R7" s="14"/>
      <c r="S7" s="14"/>
      <c r="T7" s="14">
        <v>165000</v>
      </c>
      <c r="U7" s="15"/>
    </row>
    <row r="8" spans="1:21" x14ac:dyDescent="0.2">
      <c r="A8" s="11" t="s">
        <v>0</v>
      </c>
      <c r="B8" s="12" t="s">
        <v>1</v>
      </c>
      <c r="C8" s="12" t="s">
        <v>2</v>
      </c>
      <c r="D8" s="13" t="s">
        <v>35</v>
      </c>
      <c r="E8" s="13" t="s">
        <v>22</v>
      </c>
      <c r="F8" s="13" t="s">
        <v>23</v>
      </c>
      <c r="G8" s="13" t="s">
        <v>24</v>
      </c>
      <c r="H8" s="13" t="s">
        <v>25</v>
      </c>
      <c r="I8" s="14">
        <v>861000</v>
      </c>
      <c r="J8" s="14"/>
      <c r="K8" s="14"/>
      <c r="L8" s="14">
        <v>861000</v>
      </c>
      <c r="M8" s="14"/>
      <c r="N8" s="14"/>
      <c r="O8" s="14"/>
      <c r="P8" s="14"/>
      <c r="Q8" s="14"/>
      <c r="R8" s="14"/>
      <c r="S8" s="14"/>
      <c r="T8" s="14">
        <v>861000</v>
      </c>
      <c r="U8" s="15"/>
    </row>
    <row r="9" spans="1:21" x14ac:dyDescent="0.2">
      <c r="A9" s="11" t="s">
        <v>0</v>
      </c>
      <c r="B9" s="12" t="s">
        <v>1</v>
      </c>
      <c r="C9" s="12" t="s">
        <v>2</v>
      </c>
      <c r="D9" s="13" t="s">
        <v>36</v>
      </c>
      <c r="E9" s="13" t="s">
        <v>22</v>
      </c>
      <c r="F9" s="13" t="s">
        <v>23</v>
      </c>
      <c r="G9" s="13" t="s">
        <v>24</v>
      </c>
      <c r="H9" s="13" t="s">
        <v>25</v>
      </c>
      <c r="I9" s="14">
        <v>251000</v>
      </c>
      <c r="J9" s="14"/>
      <c r="K9" s="14"/>
      <c r="L9" s="14">
        <v>251000</v>
      </c>
      <c r="M9" s="14"/>
      <c r="N9" s="14"/>
      <c r="O9" s="14"/>
      <c r="P9" s="14"/>
      <c r="Q9" s="14"/>
      <c r="R9" s="14"/>
      <c r="S9" s="14"/>
      <c r="T9" s="14">
        <v>251000</v>
      </c>
      <c r="U9" s="15"/>
    </row>
    <row r="10" spans="1:21" x14ac:dyDescent="0.2">
      <c r="A10" s="11" t="s">
        <v>0</v>
      </c>
      <c r="B10" s="12" t="s">
        <v>1</v>
      </c>
      <c r="C10" s="12" t="s">
        <v>2</v>
      </c>
      <c r="D10" s="13" t="s">
        <v>37</v>
      </c>
      <c r="E10" s="13" t="s">
        <v>22</v>
      </c>
      <c r="F10" s="13" t="s">
        <v>23</v>
      </c>
      <c r="G10" s="13" t="s">
        <v>24</v>
      </c>
      <c r="H10" s="13" t="s">
        <v>25</v>
      </c>
      <c r="I10" s="14">
        <v>1099047</v>
      </c>
      <c r="J10" s="14"/>
      <c r="K10" s="14"/>
      <c r="L10" s="14">
        <v>1099047</v>
      </c>
      <c r="M10" s="14"/>
      <c r="N10" s="14"/>
      <c r="O10" s="14"/>
      <c r="P10" s="14"/>
      <c r="Q10" s="14"/>
      <c r="R10" s="14"/>
      <c r="S10" s="14"/>
      <c r="T10" s="14">
        <v>1099047</v>
      </c>
      <c r="U10" s="15"/>
    </row>
    <row r="11" spans="1:21" x14ac:dyDescent="0.2">
      <c r="A11" s="11" t="s">
        <v>0</v>
      </c>
      <c r="B11" s="12" t="s">
        <v>1</v>
      </c>
      <c r="C11" s="12" t="s">
        <v>2</v>
      </c>
      <c r="D11" s="13" t="s">
        <v>37</v>
      </c>
      <c r="E11" s="13" t="s">
        <v>38</v>
      </c>
      <c r="F11" s="13" t="s">
        <v>23</v>
      </c>
      <c r="G11" s="13" t="s">
        <v>24</v>
      </c>
      <c r="H11" s="13" t="s">
        <v>25</v>
      </c>
      <c r="I11" s="14">
        <v>545782</v>
      </c>
      <c r="J11" s="14"/>
      <c r="K11" s="14"/>
      <c r="L11" s="14">
        <v>545782</v>
      </c>
      <c r="M11" s="14"/>
      <c r="N11" s="14"/>
      <c r="O11" s="14"/>
      <c r="P11" s="14"/>
      <c r="Q11" s="14"/>
      <c r="R11" s="14"/>
      <c r="S11" s="14"/>
      <c r="T11" s="14">
        <v>545782</v>
      </c>
      <c r="U11" s="15"/>
    </row>
    <row r="12" spans="1:21" x14ac:dyDescent="0.2">
      <c r="A12" s="11" t="s">
        <v>0</v>
      </c>
      <c r="B12" s="12" t="s">
        <v>1</v>
      </c>
      <c r="C12" s="12" t="s">
        <v>2</v>
      </c>
      <c r="D12" s="13" t="s">
        <v>39</v>
      </c>
      <c r="E12" s="13" t="s">
        <v>22</v>
      </c>
      <c r="F12" s="13" t="s">
        <v>23</v>
      </c>
      <c r="G12" s="13" t="s">
        <v>24</v>
      </c>
      <c r="H12" s="13" t="s">
        <v>25</v>
      </c>
      <c r="I12" s="14">
        <v>115000</v>
      </c>
      <c r="J12" s="14"/>
      <c r="K12" s="14"/>
      <c r="L12" s="14">
        <v>115000</v>
      </c>
      <c r="M12" s="14"/>
      <c r="N12" s="14"/>
      <c r="O12" s="14"/>
      <c r="P12" s="14"/>
      <c r="Q12" s="14"/>
      <c r="R12" s="14"/>
      <c r="S12" s="14"/>
      <c r="T12" s="14">
        <v>115000</v>
      </c>
      <c r="U12" s="15"/>
    </row>
    <row r="13" spans="1:21" x14ac:dyDescent="0.2">
      <c r="A13" s="11" t="s">
        <v>0</v>
      </c>
      <c r="B13" s="12" t="s">
        <v>1</v>
      </c>
      <c r="C13" s="12" t="s">
        <v>2</v>
      </c>
      <c r="D13" s="13" t="s">
        <v>40</v>
      </c>
      <c r="E13" s="13" t="s">
        <v>22</v>
      </c>
      <c r="F13" s="13" t="s">
        <v>23</v>
      </c>
      <c r="G13" s="13" t="s">
        <v>24</v>
      </c>
      <c r="H13" s="13" t="s">
        <v>25</v>
      </c>
      <c r="I13" s="14">
        <v>400000</v>
      </c>
      <c r="J13" s="14"/>
      <c r="K13" s="14"/>
      <c r="L13" s="14">
        <v>400000</v>
      </c>
      <c r="M13" s="14"/>
      <c r="N13" s="14"/>
      <c r="O13" s="14"/>
      <c r="P13" s="14"/>
      <c r="Q13" s="14"/>
      <c r="R13" s="14"/>
      <c r="S13" s="14"/>
      <c r="T13" s="14">
        <v>400000</v>
      </c>
      <c r="U13" s="15"/>
    </row>
    <row r="14" spans="1:21" x14ac:dyDescent="0.2">
      <c r="A14" s="11" t="s">
        <v>0</v>
      </c>
      <c r="B14" s="12" t="s">
        <v>1</v>
      </c>
      <c r="C14" s="12" t="s">
        <v>2</v>
      </c>
      <c r="D14" s="13" t="s">
        <v>41</v>
      </c>
      <c r="E14" s="13" t="s">
        <v>22</v>
      </c>
      <c r="F14" s="13" t="s">
        <v>23</v>
      </c>
      <c r="G14" s="13" t="s">
        <v>24</v>
      </c>
      <c r="H14" s="13" t="s">
        <v>25</v>
      </c>
      <c r="I14" s="14">
        <v>1818339</v>
      </c>
      <c r="J14" s="14"/>
      <c r="K14" s="14"/>
      <c r="L14" s="14">
        <v>1818339</v>
      </c>
      <c r="M14" s="14"/>
      <c r="N14" s="14"/>
      <c r="O14" s="14"/>
      <c r="P14" s="14"/>
      <c r="Q14" s="14"/>
      <c r="R14" s="14"/>
      <c r="S14" s="14"/>
      <c r="T14" s="14">
        <v>1818339</v>
      </c>
      <c r="U14" s="15"/>
    </row>
    <row r="15" spans="1:21" x14ac:dyDescent="0.2">
      <c r="A15" s="11" t="s">
        <v>0</v>
      </c>
      <c r="B15" s="12" t="s">
        <v>1</v>
      </c>
      <c r="C15" s="12" t="s">
        <v>2</v>
      </c>
      <c r="D15" s="13" t="s">
        <v>42</v>
      </c>
      <c r="E15" s="13" t="s">
        <v>22</v>
      </c>
      <c r="F15" s="13" t="s">
        <v>23</v>
      </c>
      <c r="G15" s="13" t="s">
        <v>24</v>
      </c>
      <c r="H15" s="13" t="s">
        <v>25</v>
      </c>
      <c r="I15" s="14">
        <v>100000</v>
      </c>
      <c r="J15" s="14"/>
      <c r="K15" s="14"/>
      <c r="L15" s="14">
        <v>100000</v>
      </c>
      <c r="M15" s="14"/>
      <c r="N15" s="14"/>
      <c r="O15" s="14"/>
      <c r="P15" s="14"/>
      <c r="Q15" s="14"/>
      <c r="R15" s="14"/>
      <c r="S15" s="14"/>
      <c r="T15" s="14">
        <v>100000</v>
      </c>
      <c r="U15" s="15"/>
    </row>
    <row r="16" spans="1:21" ht="12" thickBot="1" x14ac:dyDescent="0.25">
      <c r="A16" s="16" t="s">
        <v>0</v>
      </c>
      <c r="B16" s="17" t="s">
        <v>1</v>
      </c>
      <c r="C16" s="17" t="s">
        <v>2</v>
      </c>
      <c r="D16" s="18" t="s">
        <v>43</v>
      </c>
      <c r="E16" s="18" t="s">
        <v>22</v>
      </c>
      <c r="F16" s="18" t="s">
        <v>23</v>
      </c>
      <c r="G16" s="18" t="s">
        <v>24</v>
      </c>
      <c r="H16" s="18" t="s">
        <v>25</v>
      </c>
      <c r="I16" s="19">
        <v>130000</v>
      </c>
      <c r="J16" s="19"/>
      <c r="K16" s="19"/>
      <c r="L16" s="19">
        <v>130000</v>
      </c>
      <c r="M16" s="19"/>
      <c r="N16" s="19"/>
      <c r="O16" s="19"/>
      <c r="P16" s="19"/>
      <c r="Q16" s="19"/>
      <c r="R16" s="19"/>
      <c r="S16" s="19"/>
      <c r="T16" s="19">
        <v>130000</v>
      </c>
      <c r="U16" s="20"/>
    </row>
    <row r="17" spans="1:21" ht="12" thickBot="1" x14ac:dyDescent="0.25">
      <c r="A17" s="21" t="s">
        <v>44</v>
      </c>
      <c r="B17" s="22"/>
      <c r="C17" s="22"/>
      <c r="D17" s="22"/>
      <c r="E17" s="22"/>
      <c r="F17" s="22"/>
      <c r="G17" s="22"/>
      <c r="H17" s="22"/>
      <c r="I17" s="23">
        <f>SUBTOTAL(9,I2:I16)</f>
        <v>10735782</v>
      </c>
      <c r="J17" s="23">
        <f t="shared" ref="J17:U17" si="0">SUBTOTAL(9,J2:J16)</f>
        <v>0</v>
      </c>
      <c r="K17" s="23">
        <f t="shared" si="0"/>
        <v>0</v>
      </c>
      <c r="L17" s="23">
        <f t="shared" si="0"/>
        <v>10735782</v>
      </c>
      <c r="M17" s="23">
        <f t="shared" si="0"/>
        <v>0</v>
      </c>
      <c r="N17" s="23">
        <f t="shared" si="0"/>
        <v>0</v>
      </c>
      <c r="O17" s="23">
        <f t="shared" si="0"/>
        <v>0</v>
      </c>
      <c r="P17" s="23">
        <f t="shared" si="0"/>
        <v>0</v>
      </c>
      <c r="Q17" s="23">
        <f t="shared" si="0"/>
        <v>0</v>
      </c>
      <c r="R17" s="23">
        <f t="shared" si="0"/>
        <v>0</v>
      </c>
      <c r="S17" s="23">
        <f t="shared" si="0"/>
        <v>0</v>
      </c>
      <c r="T17" s="23">
        <f t="shared" si="0"/>
        <v>10735782</v>
      </c>
      <c r="U17" s="24">
        <f t="shared" si="0"/>
        <v>0</v>
      </c>
    </row>
  </sheetData>
  <mergeCells count="1">
    <mergeCell ref="A17:H17"/>
  </mergeCells>
  <pageMargins left="0.2" right="0" top="0.2" bottom="0.2" header="0" footer="0.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9" sqref="A9:XFD9"/>
    </sheetView>
  </sheetViews>
  <sheetFormatPr defaultRowHeight="11.25" x14ac:dyDescent="0.2"/>
  <cols>
    <col min="1" max="1" width="32.7109375" style="5" bestFit="1" customWidth="1"/>
    <col min="2" max="2" width="38.28515625" style="5" bestFit="1" customWidth="1"/>
    <col min="3" max="3" width="10" style="5" bestFit="1" customWidth="1"/>
    <col min="4" max="4" width="7.85546875" style="5" bestFit="1" customWidth="1"/>
    <col min="5" max="5" width="4.85546875" style="5" bestFit="1" customWidth="1"/>
    <col min="6" max="6" width="9.42578125" style="5" bestFit="1" customWidth="1"/>
    <col min="7" max="7" width="4" style="5" bestFit="1" customWidth="1"/>
    <col min="8" max="8" width="3.5703125" style="5" bestFit="1" customWidth="1"/>
    <col min="9" max="9" width="11.7109375" style="5" bestFit="1" customWidth="1"/>
    <col min="10" max="10" width="10.7109375" style="5" bestFit="1" customWidth="1"/>
    <col min="11" max="11" width="6.5703125" style="5" bestFit="1" customWidth="1"/>
    <col min="12" max="12" width="11.7109375" style="5" bestFit="1" customWidth="1"/>
    <col min="13" max="13" width="8.140625" style="5" bestFit="1" customWidth="1"/>
    <col min="14" max="14" width="10" style="5" bestFit="1" customWidth="1"/>
    <col min="15" max="15" width="4" style="5" bestFit="1" customWidth="1"/>
    <col min="16" max="16" width="8.85546875" style="5" bestFit="1" customWidth="1"/>
    <col min="17" max="17" width="7.5703125" style="5" bestFit="1" customWidth="1"/>
    <col min="18" max="18" width="14.5703125" style="5" bestFit="1" customWidth="1"/>
    <col min="19" max="19" width="4.140625" style="5" bestFit="1" customWidth="1"/>
    <col min="20" max="20" width="11.7109375" style="5" bestFit="1" customWidth="1"/>
    <col min="21" max="21" width="10.140625" style="5" bestFit="1" customWidth="1"/>
    <col min="22" max="16384" width="9.140625" style="5"/>
  </cols>
  <sheetData>
    <row r="1" spans="1:21" x14ac:dyDescent="0.2">
      <c r="A1" s="1" t="s">
        <v>45</v>
      </c>
      <c r="B1" s="2" t="s">
        <v>46</v>
      </c>
      <c r="C1" s="2" t="s">
        <v>47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">
      <c r="A2" s="11" t="s">
        <v>0</v>
      </c>
      <c r="B2" s="12" t="s">
        <v>1</v>
      </c>
      <c r="C2" s="12" t="s">
        <v>2</v>
      </c>
      <c r="D2" s="13" t="s">
        <v>29</v>
      </c>
      <c r="E2" s="13" t="s">
        <v>22</v>
      </c>
      <c r="F2" s="13" t="s">
        <v>23</v>
      </c>
      <c r="G2" s="13" t="s">
        <v>30</v>
      </c>
      <c r="H2" s="13" t="s">
        <v>25</v>
      </c>
      <c r="I2" s="14">
        <v>720000</v>
      </c>
      <c r="J2" s="14"/>
      <c r="K2" s="14"/>
      <c r="L2" s="14">
        <v>720000</v>
      </c>
      <c r="M2" s="14"/>
      <c r="N2" s="14"/>
      <c r="O2" s="14"/>
      <c r="P2" s="14"/>
      <c r="Q2" s="14"/>
      <c r="R2" s="14"/>
      <c r="S2" s="14"/>
      <c r="T2" s="14">
        <v>720000</v>
      </c>
      <c r="U2" s="15"/>
    </row>
    <row r="3" spans="1:21" x14ac:dyDescent="0.2">
      <c r="A3" s="11" t="s">
        <v>0</v>
      </c>
      <c r="B3" s="12" t="s">
        <v>1</v>
      </c>
      <c r="C3" s="12" t="s">
        <v>2</v>
      </c>
      <c r="D3" s="13" t="s">
        <v>31</v>
      </c>
      <c r="E3" s="13" t="s">
        <v>22</v>
      </c>
      <c r="F3" s="13" t="s">
        <v>23</v>
      </c>
      <c r="G3" s="13" t="s">
        <v>32</v>
      </c>
      <c r="H3" s="13" t="s">
        <v>25</v>
      </c>
      <c r="I3" s="14">
        <v>10750000</v>
      </c>
      <c r="J3" s="14"/>
      <c r="K3" s="14"/>
      <c r="L3" s="14">
        <v>10750000</v>
      </c>
      <c r="M3" s="14"/>
      <c r="N3" s="14"/>
      <c r="O3" s="14"/>
      <c r="P3" s="14"/>
      <c r="Q3" s="14"/>
      <c r="R3" s="14"/>
      <c r="S3" s="14"/>
      <c r="T3" s="14">
        <v>10750000</v>
      </c>
      <c r="U3" s="15"/>
    </row>
    <row r="4" spans="1:21" x14ac:dyDescent="0.2">
      <c r="A4" s="11" t="s">
        <v>0</v>
      </c>
      <c r="B4" s="12" t="s">
        <v>1</v>
      </c>
      <c r="C4" s="12" t="s">
        <v>2</v>
      </c>
      <c r="D4" s="13" t="s">
        <v>31</v>
      </c>
      <c r="E4" s="13" t="s">
        <v>22</v>
      </c>
      <c r="F4" s="13" t="s">
        <v>23</v>
      </c>
      <c r="G4" s="13" t="s">
        <v>33</v>
      </c>
      <c r="H4" s="13" t="s">
        <v>25</v>
      </c>
      <c r="I4" s="14">
        <v>3724670</v>
      </c>
      <c r="J4" s="14"/>
      <c r="K4" s="14"/>
      <c r="L4" s="14">
        <v>3724670</v>
      </c>
      <c r="M4" s="14"/>
      <c r="N4" s="14"/>
      <c r="O4" s="14"/>
      <c r="P4" s="14"/>
      <c r="Q4" s="14"/>
      <c r="R4" s="14"/>
      <c r="S4" s="14"/>
      <c r="T4" s="14">
        <v>3724670</v>
      </c>
      <c r="U4" s="15"/>
    </row>
    <row r="5" spans="1:21" x14ac:dyDescent="0.2">
      <c r="A5" s="11" t="s">
        <v>0</v>
      </c>
      <c r="B5" s="12" t="s">
        <v>1</v>
      </c>
      <c r="C5" s="12" t="s">
        <v>2</v>
      </c>
      <c r="D5" s="13" t="s">
        <v>31</v>
      </c>
      <c r="E5" s="13" t="s">
        <v>22</v>
      </c>
      <c r="F5" s="13" t="s">
        <v>23</v>
      </c>
      <c r="G5" s="13" t="s">
        <v>30</v>
      </c>
      <c r="H5" s="13" t="s">
        <v>25</v>
      </c>
      <c r="I5" s="14">
        <v>1874335</v>
      </c>
      <c r="J5" s="14"/>
      <c r="K5" s="14"/>
      <c r="L5" s="14">
        <v>1874335</v>
      </c>
      <c r="M5" s="14"/>
      <c r="N5" s="14"/>
      <c r="O5" s="14"/>
      <c r="P5" s="14"/>
      <c r="Q5" s="14"/>
      <c r="R5" s="14"/>
      <c r="S5" s="14"/>
      <c r="T5" s="14">
        <v>1874335</v>
      </c>
      <c r="U5" s="15"/>
    </row>
    <row r="6" spans="1:21" x14ac:dyDescent="0.2">
      <c r="A6" s="11" t="s">
        <v>0</v>
      </c>
      <c r="B6" s="12" t="s">
        <v>1</v>
      </c>
      <c r="C6" s="12" t="s">
        <v>2</v>
      </c>
      <c r="D6" s="13" t="s">
        <v>41</v>
      </c>
      <c r="E6" s="13" t="s">
        <v>22</v>
      </c>
      <c r="F6" s="13" t="s">
        <v>23</v>
      </c>
      <c r="G6" s="13" t="s">
        <v>32</v>
      </c>
      <c r="H6" s="13" t="s">
        <v>25</v>
      </c>
      <c r="I6" s="14">
        <v>2000000</v>
      </c>
      <c r="J6" s="14"/>
      <c r="K6" s="14"/>
      <c r="L6" s="14">
        <v>2000000</v>
      </c>
      <c r="M6" s="14"/>
      <c r="N6" s="14"/>
      <c r="O6" s="14"/>
      <c r="P6" s="14"/>
      <c r="Q6" s="14"/>
      <c r="R6" s="14"/>
      <c r="S6" s="14"/>
      <c r="T6" s="14">
        <v>2000000</v>
      </c>
      <c r="U6" s="15"/>
    </row>
    <row r="7" spans="1:21" x14ac:dyDescent="0.2">
      <c r="A7" s="11" t="s">
        <v>0</v>
      </c>
      <c r="B7" s="12" t="s">
        <v>1</v>
      </c>
      <c r="C7" s="12" t="s">
        <v>2</v>
      </c>
      <c r="D7" s="13" t="s">
        <v>41</v>
      </c>
      <c r="E7" s="13" t="s">
        <v>22</v>
      </c>
      <c r="F7" s="13" t="s">
        <v>23</v>
      </c>
      <c r="G7" s="13" t="s">
        <v>33</v>
      </c>
      <c r="H7" s="13" t="s">
        <v>25</v>
      </c>
      <c r="I7" s="14">
        <v>1827335</v>
      </c>
      <c r="J7" s="14"/>
      <c r="K7" s="14"/>
      <c r="L7" s="14">
        <v>1827335</v>
      </c>
      <c r="M7" s="14"/>
      <c r="N7" s="14"/>
      <c r="O7" s="14"/>
      <c r="P7" s="14"/>
      <c r="Q7" s="14"/>
      <c r="R7" s="14"/>
      <c r="S7" s="14"/>
      <c r="T7" s="14">
        <v>1827335</v>
      </c>
      <c r="U7" s="15"/>
    </row>
    <row r="8" spans="1:21" x14ac:dyDescent="0.2">
      <c r="A8" s="11" t="s">
        <v>0</v>
      </c>
      <c r="B8" s="12" t="s">
        <v>1</v>
      </c>
      <c r="C8" s="12" t="s">
        <v>2</v>
      </c>
      <c r="D8" s="13" t="s">
        <v>41</v>
      </c>
      <c r="E8" s="13" t="s">
        <v>22</v>
      </c>
      <c r="F8" s="13" t="s">
        <v>23</v>
      </c>
      <c r="G8" s="13" t="s">
        <v>30</v>
      </c>
      <c r="H8" s="13" t="s">
        <v>25</v>
      </c>
      <c r="I8" s="14">
        <v>812335</v>
      </c>
      <c r="J8" s="14"/>
      <c r="K8" s="14"/>
      <c r="L8" s="14">
        <v>812335</v>
      </c>
      <c r="M8" s="14"/>
      <c r="N8" s="14"/>
      <c r="O8" s="14"/>
      <c r="P8" s="14"/>
      <c r="Q8" s="14"/>
      <c r="R8" s="14"/>
      <c r="S8" s="14"/>
      <c r="T8" s="14">
        <v>812335</v>
      </c>
      <c r="U8" s="15"/>
    </row>
    <row r="9" spans="1:21" ht="12" thickBot="1" x14ac:dyDescent="0.25">
      <c r="A9" s="21" t="s">
        <v>44</v>
      </c>
      <c r="B9" s="22"/>
      <c r="C9" s="22"/>
      <c r="D9" s="22"/>
      <c r="E9" s="22"/>
      <c r="F9" s="22"/>
      <c r="G9" s="22"/>
      <c r="H9" s="22"/>
      <c r="I9" s="23">
        <f>SUBTOTAL(9,I2:I8)</f>
        <v>21708675</v>
      </c>
      <c r="J9" s="23">
        <f>SUBTOTAL(9,J2:J8)</f>
        <v>0</v>
      </c>
      <c r="K9" s="23">
        <f>SUBTOTAL(9,K2:K8)</f>
        <v>0</v>
      </c>
      <c r="L9" s="23">
        <f>SUBTOTAL(9,L2:L8)</f>
        <v>21708675</v>
      </c>
      <c r="M9" s="23">
        <f>SUBTOTAL(9,M2:M8)</f>
        <v>0</v>
      </c>
      <c r="N9" s="23">
        <f>SUBTOTAL(9,N2:N8)</f>
        <v>0</v>
      </c>
      <c r="O9" s="23">
        <f>SUBTOTAL(9,O2:O8)</f>
        <v>0</v>
      </c>
      <c r="P9" s="23">
        <f>SUBTOTAL(9,P2:P8)</f>
        <v>0</v>
      </c>
      <c r="Q9" s="23">
        <f>SUBTOTAL(9,Q2:Q8)</f>
        <v>0</v>
      </c>
      <c r="R9" s="23">
        <f>SUBTOTAL(9,R2:R8)</f>
        <v>0</v>
      </c>
      <c r="S9" s="23">
        <f>SUBTOTAL(9,S2:S8)</f>
        <v>0</v>
      </c>
      <c r="T9" s="23">
        <f>SUBTOTAL(9,T2:T8)</f>
        <v>21708675</v>
      </c>
      <c r="U9" s="24">
        <f>SUBTOTAL(9,U2:U8)</f>
        <v>0</v>
      </c>
    </row>
  </sheetData>
  <mergeCells count="1">
    <mergeCell ref="A9:H9"/>
  </mergeCells>
  <pageMargins left="0.2" right="0" top="0.2" bottom="0.2" header="0" footer="0.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2544 Geral</vt:lpstr>
      <vt:lpstr>2544 sem EP</vt:lpstr>
      <vt:lpstr>2544 EP apenas</vt:lpstr>
    </vt:vector>
  </TitlesOfParts>
  <Company>CEPROMAT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FIPLAN</dc:creator>
  <cp:lastModifiedBy>adm</cp:lastModifiedBy>
  <dcterms:created xsi:type="dcterms:W3CDTF">2007-08-13T13:58:41Z</dcterms:created>
  <dcterms:modified xsi:type="dcterms:W3CDTF">2026-02-12T13:49:47Z</dcterms:modified>
</cp:coreProperties>
</file>